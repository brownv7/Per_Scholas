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d Lab 330.2.1 -..." sheetId="1" r:id="rId4"/>
  </sheets>
  <definedNames/>
  <calcPr/>
</workbook>
</file>

<file path=xl/sharedStrings.xml><?xml version="1.0" encoding="utf-8"?>
<sst xmlns="http://schemas.openxmlformats.org/spreadsheetml/2006/main" count="32" uniqueCount="31">
  <si>
    <t>Day</t>
  </si>
  <si>
    <t>Temperature (X)</t>
  </si>
  <si>
    <t>Ice Cream Sales (Y)</t>
  </si>
  <si>
    <t>Mean of Temp (X)</t>
  </si>
  <si>
    <t>Mean of Sales (Y)</t>
  </si>
  <si>
    <t>X1 - X</t>
  </si>
  <si>
    <t>Y1 - Y</t>
  </si>
  <si>
    <t>Deviations</t>
  </si>
  <si>
    <t>20-20</t>
  </si>
  <si>
    <t>100-100</t>
  </si>
  <si>
    <t>25-20</t>
  </si>
  <si>
    <t>120-100</t>
  </si>
  <si>
    <t>15-20</t>
  </si>
  <si>
    <t>80-100</t>
  </si>
  <si>
    <t>Sum of all products</t>
  </si>
  <si>
    <t xml:space="preserve">Covariance </t>
  </si>
  <si>
    <t>Variable</t>
  </si>
  <si>
    <t>Squared Deviations</t>
  </si>
  <si>
    <t>Sum of Squared Deviations</t>
  </si>
  <si>
    <t>Variance (σ2)</t>
  </si>
  <si>
    <t>Mean</t>
  </si>
  <si>
    <t>Standard of Deviation</t>
  </si>
  <si>
    <t>X (Temperature)</t>
  </si>
  <si>
    <t>0^2=0, 5^2=25, (−5)^2=25</t>
  </si>
  <si>
    <t>0+25+25=50</t>
  </si>
  <si>
    <t>σX2​=50/3​≈16.67</t>
  </si>
  <si>
    <t>Y (Sales)</t>
  </si>
  <si>
    <t>0^2=0, 20^2=400, (−20)^2=400</t>
  </si>
  <si>
    <t>0+400+400=800</t>
  </si>
  <si>
    <t>σY2​=800/3​≈266.67</t>
  </si>
  <si>
    <t>covarience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</si>
</sst>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Correlation between Tempature and Ice Creams Sales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'Guided Lab 330.2.1 -...'!$B$2:$B$4</c:f>
            </c:numRef>
          </c:xVal>
          <c:yVal>
            <c:numRef>
              <c:f>'Guided Lab 330.2.1 -...'!$C$2:$C$4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180431"/>
        <c:axId val="2118319636"/>
      </c:scatterChart>
      <c:valAx>
        <c:axId val="8261804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319636"/>
      </c:valAx>
      <c:valAx>
        <c:axId val="2118319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Ice Cream Sales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180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1.75"/>
    <col customWidth="1" min="3" max="3" width="21.25"/>
    <col customWidth="1" min="5" max="5" width="14.38"/>
    <col customWidth="1" min="6" max="6" width="15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20.0</v>
      </c>
      <c r="C2" s="1">
        <v>100.0</v>
      </c>
      <c r="E2" s="1" t="s">
        <v>3</v>
      </c>
      <c r="F2" s="2">
        <f>AVERAGE(B2:B4)</f>
        <v>20</v>
      </c>
    </row>
    <row r="3">
      <c r="A3" s="1">
        <v>2.0</v>
      </c>
      <c r="B3" s="1">
        <v>25.0</v>
      </c>
      <c r="C3" s="1">
        <v>120.0</v>
      </c>
      <c r="E3" s="1" t="s">
        <v>4</v>
      </c>
      <c r="F3" s="2">
        <f>AVERAGE(C2:C4)</f>
        <v>100</v>
      </c>
    </row>
    <row r="4">
      <c r="A4" s="1">
        <v>3.0</v>
      </c>
      <c r="B4" s="1">
        <v>15.0</v>
      </c>
      <c r="C4" s="1">
        <v>80.0</v>
      </c>
    </row>
    <row r="7">
      <c r="A7" s="1" t="s">
        <v>0</v>
      </c>
      <c r="B7" s="1" t="s">
        <v>5</v>
      </c>
      <c r="D7" s="1" t="s">
        <v>6</v>
      </c>
      <c r="G7" s="1" t="s">
        <v>7</v>
      </c>
    </row>
    <row r="8">
      <c r="A8" s="1">
        <v>1.0</v>
      </c>
      <c r="B8" s="1" t="s">
        <v>8</v>
      </c>
      <c r="C8" s="2">
        <f>SUM(B8)</f>
        <v>0</v>
      </c>
      <c r="D8" s="1" t="s">
        <v>9</v>
      </c>
      <c r="E8" s="1">
        <v>0.0</v>
      </c>
      <c r="G8" s="2">
        <f t="shared" ref="G8:G10" si="1">(C8*E8)</f>
        <v>0</v>
      </c>
    </row>
    <row r="9">
      <c r="A9" s="1">
        <v>2.0</v>
      </c>
      <c r="B9" s="1" t="s">
        <v>10</v>
      </c>
      <c r="C9" s="1">
        <v>5.0</v>
      </c>
      <c r="D9" s="1" t="s">
        <v>11</v>
      </c>
      <c r="E9" s="1">
        <v>20.0</v>
      </c>
      <c r="G9" s="2">
        <f t="shared" si="1"/>
        <v>100</v>
      </c>
    </row>
    <row r="10">
      <c r="A10" s="1">
        <v>3.0</v>
      </c>
      <c r="B10" s="1" t="s">
        <v>12</v>
      </c>
      <c r="C10" s="1">
        <v>-5.0</v>
      </c>
      <c r="D10" s="1" t="s">
        <v>13</v>
      </c>
      <c r="E10" s="1">
        <v>-20.0</v>
      </c>
      <c r="G10" s="2">
        <f t="shared" si="1"/>
        <v>100</v>
      </c>
    </row>
    <row r="11">
      <c r="F11" s="1" t="s">
        <v>14</v>
      </c>
      <c r="G11" s="2">
        <f>SUM(G8:G10)</f>
        <v>200</v>
      </c>
    </row>
    <row r="13">
      <c r="F13" s="1" t="s">
        <v>15</v>
      </c>
      <c r="G13" s="2">
        <f>200/3</f>
        <v>66.66666667</v>
      </c>
    </row>
    <row r="17">
      <c r="A17" s="3" t="s">
        <v>16</v>
      </c>
      <c r="B17" s="3" t="s">
        <v>17</v>
      </c>
      <c r="C17" s="3" t="s">
        <v>18</v>
      </c>
      <c r="D17" s="3" t="s">
        <v>19</v>
      </c>
      <c r="E17" s="1" t="s">
        <v>20</v>
      </c>
      <c r="F17" s="1" t="s">
        <v>21</v>
      </c>
    </row>
    <row r="18">
      <c r="A18" s="3" t="s">
        <v>22</v>
      </c>
      <c r="B18" s="4" t="s">
        <v>23</v>
      </c>
      <c r="C18" s="3" t="s">
        <v>24</v>
      </c>
      <c r="D18" s="4" t="s">
        <v>25</v>
      </c>
      <c r="E18" s="2">
        <f>50/3</f>
        <v>16.66666667</v>
      </c>
      <c r="F18" s="2">
        <f t="shared" ref="F18:F19" si="2">SQRT(E18)</f>
        <v>4.082482905</v>
      </c>
    </row>
    <row r="19">
      <c r="A19" s="3" t="s">
        <v>26</v>
      </c>
      <c r="B19" s="4" t="s">
        <v>27</v>
      </c>
      <c r="C19" s="3" t="s">
        <v>28</v>
      </c>
      <c r="D19" s="4" t="s">
        <v>29</v>
      </c>
      <c r="E19" s="2">
        <f>800/3</f>
        <v>266.6666667</v>
      </c>
      <c r="F19" s="2">
        <f t="shared" si="2"/>
        <v>16.32993162</v>
      </c>
    </row>
    <row r="23">
      <c r="A23" s="1" t="s">
        <v>30</v>
      </c>
      <c r="B23" s="2">
        <f>G13/(F18*F19)</f>
        <v>1</v>
      </c>
    </row>
  </sheetData>
  <drawing r:id="rId1"/>
</worksheet>
</file>